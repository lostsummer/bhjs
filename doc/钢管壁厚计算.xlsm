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 defaultThemeVersion="124226"/>
  <bookViews>
    <workbookView xWindow="0" yWindow="150" windowWidth="19200" windowHeight="11580"/>
  </bookViews>
  <sheets>
    <sheet name="壁厚计算" sheetId="14" r:id="rId1"/>
    <sheet name="工程量计算" sheetId="12" state="hidden" r:id="rId2"/>
    <sheet name="管道、管件统计表" sheetId="13" state="hidden" r:id="rId3"/>
  </sheets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D18" i="14"/>
  <c r="L3"/>
  <c r="F3"/>
  <c r="A22" l="1"/>
  <c r="G18"/>
  <c r="A11"/>
  <c r="A12"/>
  <c r="A13"/>
  <c r="A14"/>
  <c r="A10"/>
  <c r="D4"/>
  <c r="D5"/>
  <c r="D6"/>
  <c r="D3"/>
  <c r="K22" l="1"/>
  <c r="F22"/>
  <c r="J18"/>
  <c r="E18"/>
  <c r="I18"/>
  <c r="F10"/>
  <c r="E3"/>
  <c r="J4"/>
  <c r="K4" s="1"/>
  <c r="J5"/>
  <c r="K5" s="1"/>
  <c r="J6"/>
  <c r="K6" s="1"/>
  <c r="J3"/>
  <c r="K3" s="1"/>
  <c r="B4"/>
  <c r="B5"/>
  <c r="B6"/>
  <c r="E6"/>
  <c r="F6" s="1"/>
  <c r="E5"/>
  <c r="F5" s="1"/>
  <c r="E4"/>
  <c r="F4" s="1"/>
  <c r="F13"/>
  <c r="F14"/>
  <c r="F12"/>
  <c r="F11"/>
  <c r="D11"/>
  <c r="D12"/>
  <c r="D13"/>
  <c r="D14"/>
  <c r="E14"/>
  <c r="G14" s="1"/>
  <c r="D10"/>
  <c r="B3"/>
  <c r="G6" l="1"/>
  <c r="H6" s="1"/>
  <c r="L6" s="1"/>
  <c r="E12"/>
  <c r="G12" s="1"/>
  <c r="G4"/>
  <c r="H4" s="1"/>
  <c r="L4" s="1"/>
  <c r="G5"/>
  <c r="H5" s="1"/>
  <c r="L5" s="1"/>
  <c r="E10"/>
  <c r="G10" s="1"/>
  <c r="K18"/>
  <c r="G3"/>
  <c r="H3" s="1"/>
  <c r="E11"/>
  <c r="G11" s="1"/>
  <c r="E13"/>
  <c r="G13" s="1"/>
  <c r="E18" i="12" l="1"/>
  <c r="E16"/>
  <c r="E15"/>
  <c r="E14"/>
  <c r="E13"/>
  <c r="E11"/>
  <c r="E10"/>
  <c r="E9"/>
  <c r="E8"/>
  <c r="E7"/>
  <c r="E6"/>
  <c r="E5"/>
  <c r="E3"/>
  <c r="E4" l="1"/>
  <c r="N9"/>
  <c r="N12" s="1"/>
  <c r="M9"/>
  <c r="M11" s="1"/>
  <c r="D18"/>
  <c r="D15"/>
  <c r="N11" l="1"/>
  <c r="N10"/>
  <c r="M12"/>
  <c r="M10"/>
  <c r="E17"/>
  <c r="D17"/>
  <c r="D16"/>
  <c r="D8"/>
  <c r="D9"/>
  <c r="D13"/>
  <c r="E12" l="1"/>
  <c r="N21"/>
  <c r="M21"/>
  <c r="L21"/>
  <c r="K21"/>
  <c r="J21"/>
  <c r="I21"/>
  <c r="L9"/>
  <c r="L10" s="1"/>
  <c r="K9"/>
  <c r="K10" s="1"/>
  <c r="J9"/>
  <c r="J10" s="1"/>
  <c r="I9"/>
  <c r="I11" s="1"/>
  <c r="J6"/>
  <c r="K6"/>
  <c r="L6"/>
  <c r="I6"/>
  <c r="M5"/>
  <c r="M4"/>
  <c r="M3"/>
  <c r="M2"/>
  <c r="D5"/>
  <c r="D12"/>
  <c r="D7"/>
  <c r="D14"/>
  <c r="D4"/>
  <c r="D3"/>
  <c r="D10"/>
  <c r="D6"/>
  <c r="D11"/>
  <c r="J11" l="1"/>
  <c r="M6"/>
  <c r="L11"/>
  <c r="I10"/>
  <c r="K11"/>
</calcChain>
</file>

<file path=xl/sharedStrings.xml><?xml version="1.0" encoding="utf-8"?>
<sst xmlns="http://schemas.openxmlformats.org/spreadsheetml/2006/main" count="145" uniqueCount="95">
  <si>
    <t>干管</t>
    <phoneticPr fontId="1" type="noConversion"/>
  </si>
  <si>
    <t>名称</t>
    <phoneticPr fontId="1" type="noConversion"/>
  </si>
  <si>
    <t>汇总</t>
    <phoneticPr fontId="1" type="noConversion"/>
  </si>
  <si>
    <t>供水灌溉工程量汇总表</t>
  </si>
  <si>
    <t>序号</t>
  </si>
  <si>
    <t>名称</t>
  </si>
  <si>
    <t>单位</t>
  </si>
  <si>
    <t>数量</t>
  </si>
  <si>
    <t>备注</t>
  </si>
  <si>
    <t>土方开挖</t>
  </si>
  <si>
    <t>石方开挖</t>
  </si>
  <si>
    <t>开挖料回填</t>
  </si>
  <si>
    <t>砂垫层厚200</t>
  </si>
  <si>
    <t>钢筋</t>
  </si>
  <si>
    <t>t</t>
  </si>
  <si>
    <t>m</t>
  </si>
  <si>
    <t>m³</t>
  </si>
  <si>
    <r>
      <t>1#</t>
    </r>
    <r>
      <rPr>
        <sz val="10"/>
        <color theme="1"/>
        <rFont val="宋体"/>
        <family val="3"/>
        <charset val="134"/>
      </rPr>
      <t>支管</t>
    </r>
    <phoneticPr fontId="1" type="noConversion"/>
  </si>
  <si>
    <r>
      <t>2#支管</t>
    </r>
    <r>
      <rPr>
        <sz val="10"/>
        <color theme="1"/>
        <rFont val="宋体"/>
        <family val="3"/>
        <charset val="134"/>
      </rPr>
      <t/>
    </r>
  </si>
  <si>
    <r>
      <t>3#支管</t>
    </r>
    <r>
      <rPr>
        <sz val="10"/>
        <color theme="1"/>
        <rFont val="宋体"/>
        <family val="3"/>
        <charset val="134"/>
      </rPr>
      <t/>
    </r>
  </si>
  <si>
    <t>水平地形</t>
    <phoneticPr fontId="1" type="noConversion"/>
  </si>
  <si>
    <t>总长</t>
    <phoneticPr fontId="1" type="noConversion"/>
  </si>
  <si>
    <t>穿道路</t>
    <phoneticPr fontId="1" type="noConversion"/>
  </si>
  <si>
    <t>斜坡</t>
    <phoneticPr fontId="1" type="noConversion"/>
  </si>
  <si>
    <t>穿河</t>
    <phoneticPr fontId="1" type="noConversion"/>
  </si>
  <si>
    <t>土方开挖</t>
    <phoneticPr fontId="1" type="noConversion"/>
  </si>
  <si>
    <t>石方开挖</t>
    <phoneticPr fontId="1" type="noConversion"/>
  </si>
  <si>
    <t>开挖料回填</t>
    <phoneticPr fontId="1" type="noConversion"/>
  </si>
  <si>
    <r>
      <rPr>
        <sz val="10"/>
        <color theme="1"/>
        <rFont val="宋体"/>
        <family val="3"/>
        <charset val="134"/>
      </rPr>
      <t>中粗砂垫层厚</t>
    </r>
    <r>
      <rPr>
        <sz val="10"/>
        <color theme="1"/>
        <rFont val="Times New Roman"/>
        <family val="1"/>
      </rPr>
      <t>200</t>
    </r>
    <phoneticPr fontId="1" type="noConversion"/>
  </si>
  <si>
    <t>总开挖</t>
    <phoneticPr fontId="1" type="noConversion"/>
  </si>
  <si>
    <r>
      <t>C20</t>
    </r>
    <r>
      <rPr>
        <sz val="10"/>
        <color theme="1"/>
        <rFont val="宋体"/>
        <family val="3"/>
        <charset val="134"/>
      </rPr>
      <t>素砼回填</t>
    </r>
  </si>
  <si>
    <t>断面工程量</t>
    <phoneticPr fontId="1" type="noConversion"/>
  </si>
  <si>
    <t>分类长度</t>
    <phoneticPr fontId="1" type="noConversion"/>
  </si>
  <si>
    <t>计算公式</t>
    <phoneticPr fontId="1" type="noConversion"/>
  </si>
  <si>
    <r>
      <t>C20</t>
    </r>
    <r>
      <rPr>
        <sz val="10"/>
        <color theme="1"/>
        <rFont val="宋体"/>
        <family val="3"/>
        <charset val="134"/>
      </rPr>
      <t>素砼回填</t>
    </r>
    <phoneticPr fontId="1" type="noConversion"/>
  </si>
  <si>
    <r>
      <t>PE100</t>
    </r>
    <r>
      <rPr>
        <sz val="10"/>
        <color theme="1"/>
        <rFont val="宋体"/>
        <family val="3"/>
        <charset val="134"/>
      </rPr>
      <t>级管（</t>
    </r>
    <r>
      <rPr>
        <sz val="10"/>
        <color theme="1"/>
        <rFont val="Times New Roman"/>
        <family val="1"/>
      </rPr>
      <t>DN200</t>
    </r>
    <r>
      <rPr>
        <sz val="10"/>
        <color theme="1"/>
        <rFont val="宋体"/>
        <family val="3"/>
        <charset val="134"/>
      </rPr>
      <t>，</t>
    </r>
    <r>
      <rPr>
        <sz val="10"/>
        <color theme="1"/>
        <rFont val="Times New Roman"/>
        <family val="1"/>
      </rPr>
      <t>PN1.6</t>
    </r>
    <r>
      <rPr>
        <sz val="10"/>
        <color theme="1"/>
        <rFont val="宋体"/>
        <family val="3"/>
        <charset val="134"/>
      </rPr>
      <t>）</t>
    </r>
    <phoneticPr fontId="1" type="noConversion"/>
  </si>
  <si>
    <r>
      <t>C25</t>
    </r>
    <r>
      <rPr>
        <sz val="10"/>
        <color theme="1"/>
        <rFont val="宋体"/>
        <family val="3"/>
        <charset val="134"/>
      </rPr>
      <t>钢筋砼镇墩</t>
    </r>
    <phoneticPr fontId="1" type="noConversion"/>
  </si>
  <si>
    <t>镇墩</t>
    <phoneticPr fontId="1" type="noConversion"/>
  </si>
  <si>
    <t>附属建筑物</t>
    <phoneticPr fontId="1" type="noConversion"/>
  </si>
  <si>
    <t>流量控制阀</t>
    <phoneticPr fontId="1" type="noConversion"/>
  </si>
  <si>
    <t>电磁流量计</t>
    <phoneticPr fontId="1" type="noConversion"/>
  </si>
  <si>
    <t>空气阀</t>
    <phoneticPr fontId="1" type="noConversion"/>
  </si>
  <si>
    <t>排污阀</t>
    <phoneticPr fontId="1" type="noConversion"/>
  </si>
  <si>
    <t>检修闸阀</t>
    <phoneticPr fontId="1" type="noConversion"/>
  </si>
  <si>
    <r>
      <t>C25</t>
    </r>
    <r>
      <rPr>
        <sz val="10"/>
        <color theme="1"/>
        <rFont val="宋体"/>
        <family val="3"/>
        <charset val="134"/>
      </rPr>
      <t>钢筋砼预制盖板厚</t>
    </r>
    <r>
      <rPr>
        <sz val="10"/>
        <color theme="1"/>
        <rFont val="Times New Roman"/>
        <family val="1"/>
      </rPr>
      <t>80</t>
    </r>
    <phoneticPr fontId="1" type="noConversion"/>
  </si>
  <si>
    <r>
      <t>C25</t>
    </r>
    <r>
      <rPr>
        <sz val="10"/>
        <color theme="1"/>
        <rFont val="宋体"/>
        <family val="3"/>
        <charset val="134"/>
      </rPr>
      <t>钢筋砼阀门井身</t>
    </r>
    <phoneticPr fontId="1" type="noConversion"/>
  </si>
  <si>
    <r>
      <t>C25</t>
    </r>
    <r>
      <rPr>
        <sz val="10"/>
        <color theme="1"/>
        <rFont val="宋体"/>
        <family val="3"/>
        <charset val="134"/>
      </rPr>
      <t>钢筋砼阀门支墩</t>
    </r>
    <phoneticPr fontId="1" type="noConversion"/>
  </si>
  <si>
    <r>
      <t>C15</t>
    </r>
    <r>
      <rPr>
        <sz val="10"/>
        <color theme="1"/>
        <rFont val="宋体"/>
        <family val="3"/>
        <charset val="134"/>
      </rPr>
      <t>砼垫层</t>
    </r>
    <phoneticPr fontId="1" type="noConversion"/>
  </si>
  <si>
    <r>
      <t>BW-</t>
    </r>
    <r>
      <rPr>
        <sz val="10"/>
        <color theme="1"/>
        <rFont val="宋体"/>
        <family val="3"/>
        <charset val="134"/>
      </rPr>
      <t>Ⅱ膨胀止水环</t>
    </r>
    <r>
      <rPr>
        <sz val="10"/>
        <color theme="1"/>
        <rFont val="Times New Roman"/>
        <family val="1"/>
      </rPr>
      <t>(20</t>
    </r>
    <r>
      <rPr>
        <sz val="10"/>
        <color theme="1"/>
        <rFont val="宋体"/>
        <family val="3"/>
        <charset val="134"/>
      </rPr>
      <t>×</t>
    </r>
    <r>
      <rPr>
        <sz val="10"/>
        <color theme="1"/>
        <rFont val="Times New Roman"/>
        <family val="1"/>
      </rPr>
      <t>30mm)</t>
    </r>
    <phoneticPr fontId="1" type="noConversion"/>
  </si>
  <si>
    <t>m</t>
    <phoneticPr fontId="1" type="noConversion"/>
  </si>
  <si>
    <t>阀门井</t>
    <phoneticPr fontId="1" type="noConversion"/>
  </si>
  <si>
    <t>根</t>
    <phoneticPr fontId="1" type="noConversion"/>
  </si>
  <si>
    <t>爬梯（直径20，长1.5m二级钢筋）</t>
    <phoneticPr fontId="1" type="noConversion"/>
  </si>
  <si>
    <t>长度</t>
  </si>
  <si>
    <t>备注</t>
    <phoneticPr fontId="1" type="noConversion"/>
  </si>
  <si>
    <r>
      <rPr>
        <sz val="10"/>
        <color theme="1"/>
        <rFont val="宋体"/>
        <family val="3"/>
        <charset val="134"/>
      </rPr>
      <t>流量控制阀（</t>
    </r>
    <r>
      <rPr>
        <sz val="10"/>
        <color theme="1"/>
        <rFont val="Times New Roman"/>
        <family val="1"/>
      </rPr>
      <t>DN400</t>
    </r>
    <r>
      <rPr>
        <sz val="10"/>
        <color theme="1"/>
        <rFont val="宋体"/>
        <family val="3"/>
        <charset val="134"/>
      </rPr>
      <t>）</t>
    </r>
    <phoneticPr fontId="1" type="noConversion"/>
  </si>
  <si>
    <r>
      <rPr>
        <sz val="10"/>
        <color theme="1"/>
        <rFont val="宋体"/>
        <family val="3"/>
        <charset val="134"/>
      </rPr>
      <t>流量控制阀（</t>
    </r>
    <r>
      <rPr>
        <sz val="10"/>
        <color theme="1"/>
        <rFont val="Times New Roman"/>
        <family val="1"/>
      </rPr>
      <t>DN200</t>
    </r>
    <r>
      <rPr>
        <sz val="10"/>
        <color theme="1"/>
        <rFont val="宋体"/>
        <family val="3"/>
        <charset val="134"/>
      </rPr>
      <t>）</t>
    </r>
    <phoneticPr fontId="1" type="noConversion"/>
  </si>
  <si>
    <r>
      <rPr>
        <sz val="10"/>
        <color theme="1"/>
        <rFont val="宋体"/>
        <family val="3"/>
        <charset val="134"/>
      </rPr>
      <t>空气阀（</t>
    </r>
    <r>
      <rPr>
        <sz val="10"/>
        <color theme="1"/>
        <rFont val="Times New Roman"/>
        <family val="1"/>
      </rPr>
      <t>DN50</t>
    </r>
    <r>
      <rPr>
        <sz val="10"/>
        <color theme="1"/>
        <rFont val="宋体"/>
        <family val="3"/>
        <charset val="134"/>
      </rPr>
      <t>）</t>
    </r>
    <phoneticPr fontId="1" type="noConversion"/>
  </si>
  <si>
    <t>排污阀（DN200）</t>
    <phoneticPr fontId="1" type="noConversion"/>
  </si>
  <si>
    <r>
      <rPr>
        <sz val="10"/>
        <color theme="1"/>
        <rFont val="宋体"/>
        <family val="3"/>
        <charset val="134"/>
      </rPr>
      <t>检修闸阀（</t>
    </r>
    <r>
      <rPr>
        <sz val="10"/>
        <color theme="1"/>
        <rFont val="Times New Roman"/>
        <family val="1"/>
      </rPr>
      <t>DN400</t>
    </r>
    <r>
      <rPr>
        <sz val="10"/>
        <color theme="1"/>
        <rFont val="宋体"/>
        <family val="3"/>
        <charset val="134"/>
      </rPr>
      <t>）</t>
    </r>
    <phoneticPr fontId="1" type="noConversion"/>
  </si>
  <si>
    <r>
      <rPr>
        <sz val="10"/>
        <color theme="1"/>
        <rFont val="宋体"/>
        <family val="3"/>
        <charset val="134"/>
      </rPr>
      <t>检修闸阀（</t>
    </r>
    <r>
      <rPr>
        <sz val="10"/>
        <color theme="1"/>
        <rFont val="Times New Roman"/>
        <family val="1"/>
      </rPr>
      <t>DN250</t>
    </r>
    <r>
      <rPr>
        <sz val="10"/>
        <color theme="1"/>
        <rFont val="宋体"/>
        <family val="3"/>
        <charset val="134"/>
      </rPr>
      <t>）</t>
    </r>
    <phoneticPr fontId="1" type="noConversion"/>
  </si>
  <si>
    <r>
      <rPr>
        <sz val="10"/>
        <color theme="1"/>
        <rFont val="宋体"/>
        <family val="3"/>
        <charset val="134"/>
      </rPr>
      <t>检修闸阀（</t>
    </r>
    <r>
      <rPr>
        <sz val="10"/>
        <color theme="1"/>
        <rFont val="Times New Roman"/>
        <family val="1"/>
      </rPr>
      <t>DN200</t>
    </r>
    <r>
      <rPr>
        <sz val="10"/>
        <color theme="1"/>
        <rFont val="宋体"/>
        <family val="3"/>
        <charset val="134"/>
      </rPr>
      <t>）</t>
    </r>
    <phoneticPr fontId="1" type="noConversion"/>
  </si>
  <si>
    <t>个</t>
    <phoneticPr fontId="1" type="noConversion"/>
  </si>
  <si>
    <r>
      <t>球墨铸铁管（</t>
    </r>
    <r>
      <rPr>
        <sz val="10"/>
        <color theme="1"/>
        <rFont val="Times New Roman"/>
        <family val="1"/>
      </rPr>
      <t>DN400</t>
    </r>
    <r>
      <rPr>
        <sz val="10"/>
        <color theme="1"/>
        <rFont val="宋体"/>
        <family val="3"/>
        <charset val="134"/>
      </rPr>
      <t>）</t>
    </r>
    <phoneticPr fontId="1" type="noConversion"/>
  </si>
  <si>
    <r>
      <t>球墨铸铁管（</t>
    </r>
    <r>
      <rPr>
        <sz val="10"/>
        <color theme="1"/>
        <rFont val="Times New Roman"/>
        <family val="1"/>
      </rPr>
      <t>DN250</t>
    </r>
    <r>
      <rPr>
        <sz val="10"/>
        <color theme="1"/>
        <rFont val="宋体"/>
        <family val="3"/>
        <charset val="134"/>
      </rPr>
      <t>）</t>
    </r>
    <phoneticPr fontId="1" type="noConversion"/>
  </si>
  <si>
    <t>内衬水泥砂浆，外喷沥青漆防腐</t>
    <phoneticPr fontId="1" type="noConversion"/>
  </si>
  <si>
    <t>构造要求</t>
    <phoneticPr fontId="1" type="noConversion"/>
  </si>
  <si>
    <t>抗外压稳定要求</t>
    <phoneticPr fontId="1" type="noConversion"/>
  </si>
  <si>
    <t>抗外压稳定校核</t>
    <phoneticPr fontId="1" type="noConversion"/>
  </si>
  <si>
    <r>
      <t>管径</t>
    </r>
    <r>
      <rPr>
        <sz val="11"/>
        <color theme="1"/>
        <rFont val="Times New Roman"/>
        <family val="1"/>
      </rPr>
      <t>D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</si>
  <si>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计算壁厚</t>
    </r>
    <r>
      <rPr>
        <sz val="11"/>
        <color theme="1"/>
        <rFont val="Times New Roman"/>
        <family val="1"/>
      </rPr>
      <t>δ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</si>
  <si>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弹性模量</t>
    </r>
    <r>
      <rPr>
        <sz val="11"/>
        <color theme="1"/>
        <rFont val="Times New Roman"/>
        <family val="1"/>
      </rPr>
      <t>E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N/mm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宋体"/>
        <family val="2"/>
        <charset val="134"/>
      </rPr>
      <t>）</t>
    </r>
    <phoneticPr fontId="1" type="noConversion"/>
  </si>
  <si>
    <t>抗内压强度要求</t>
    <phoneticPr fontId="1" type="noConversion"/>
  </si>
  <si>
    <r>
      <t>结构壁厚</t>
    </r>
    <r>
      <rPr>
        <sz val="11"/>
        <color theme="1"/>
        <rFont val="Times New Roman"/>
        <family val="1"/>
      </rPr>
      <t>δ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</si>
  <si>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临界外压</t>
    </r>
    <r>
      <rPr>
        <sz val="11"/>
        <color theme="1"/>
        <rFont val="Times New Roman"/>
        <family val="1"/>
      </rPr>
      <t>P</t>
    </r>
    <r>
      <rPr>
        <vertAlign val="subscript"/>
        <sz val="11"/>
        <color theme="1"/>
        <rFont val="Times New Roman"/>
        <family val="1"/>
      </rPr>
      <t>cr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MPa</t>
    </r>
    <r>
      <rPr>
        <sz val="11"/>
        <color theme="1"/>
        <rFont val="宋体"/>
        <family val="3"/>
        <charset val="134"/>
      </rPr>
      <t>）</t>
    </r>
    <phoneticPr fontId="1" type="noConversion"/>
  </si>
  <si>
    <t>安全系数</t>
    <phoneticPr fontId="1" type="noConversion"/>
  </si>
  <si>
    <t>设加劲环后抗外压稳定计算</t>
    <phoneticPr fontId="1" type="noConversion"/>
  </si>
  <si>
    <t>加劲环自身稳定计算</t>
    <phoneticPr fontId="1" type="noConversion"/>
  </si>
  <si>
    <r>
      <t>临界外压</t>
    </r>
    <r>
      <rPr>
        <sz val="11"/>
        <color theme="1"/>
        <rFont val="Times New Roman"/>
        <family val="1"/>
      </rPr>
      <t>P</t>
    </r>
    <r>
      <rPr>
        <vertAlign val="subscript"/>
        <sz val="11"/>
        <color theme="1"/>
        <rFont val="Times New Roman"/>
        <family val="1"/>
      </rPr>
      <t>cr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MPa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</si>
  <si>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设计压力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MPa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</si>
  <si>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最小结构壁厚</t>
    </r>
    <r>
      <rPr>
        <sz val="11"/>
        <color theme="1"/>
        <rFont val="Times New Roman"/>
        <family val="1"/>
      </rPr>
      <t>δ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</si>
  <si>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壁厚取值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</si>
  <si>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钢管外压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MPa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</si>
  <si>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加劲环间距</t>
    </r>
    <r>
      <rPr>
        <sz val="11"/>
        <color theme="1"/>
        <rFont val="Times New Roman"/>
        <family val="1"/>
      </rPr>
      <t>l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</si>
  <si>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rPr>
        <sz val="11"/>
        <color theme="1"/>
        <rFont val="宋体"/>
        <family val="2"/>
        <charset val="134"/>
      </rPr>
      <t>屈曲波数</t>
    </r>
    <r>
      <rPr>
        <sz val="11"/>
        <color theme="1"/>
        <rFont val="Times New Roman"/>
        <family val="1"/>
      </rPr>
      <t>n</t>
    </r>
    <phoneticPr fontId="1" type="noConversion"/>
  </si>
  <si>
    <r>
      <rPr>
        <sz val="11"/>
        <color theme="1"/>
        <rFont val="宋体"/>
        <family val="2"/>
        <charset val="134"/>
      </rPr>
      <t>泊松比</t>
    </r>
    <r>
      <rPr>
        <sz val="11"/>
        <color theme="1"/>
        <rFont val="Times New Roman"/>
        <family val="1"/>
      </rPr>
      <t>μ</t>
    </r>
    <phoneticPr fontId="1" type="noConversion"/>
  </si>
  <si>
    <r>
      <rPr>
        <sz val="11"/>
        <color theme="1"/>
        <rFont val="宋体"/>
        <family val="2"/>
        <charset val="134"/>
      </rPr>
      <t>假定</t>
    </r>
    <r>
      <rPr>
        <sz val="11"/>
        <color theme="1"/>
        <rFont val="Times New Roman"/>
        <family val="1"/>
      </rPr>
      <t>n</t>
    </r>
    <r>
      <rPr>
        <sz val="11"/>
        <color theme="1"/>
        <rFont val="宋体"/>
        <family val="2"/>
        <charset val="134"/>
      </rPr>
      <t>试算</t>
    </r>
    <r>
      <rPr>
        <sz val="11"/>
        <color theme="1"/>
        <rFont val="Times New Roman"/>
        <family val="1"/>
      </rPr>
      <t>P</t>
    </r>
    <r>
      <rPr>
        <vertAlign val="subscript"/>
        <sz val="11"/>
        <color theme="1"/>
        <rFont val="Times New Roman"/>
        <family val="1"/>
      </rPr>
      <t>cr</t>
    </r>
    <phoneticPr fontId="1" type="noConversion"/>
  </si>
  <si>
    <r>
      <t>加劲环厚度</t>
    </r>
    <r>
      <rPr>
        <sz val="11"/>
        <color theme="1"/>
        <rFont val="Times New Roman"/>
        <family val="1"/>
      </rPr>
      <t>b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</si>
  <si>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加劲环高度</t>
    </r>
    <r>
      <rPr>
        <sz val="11"/>
        <color theme="1"/>
        <rFont val="Times New Roman"/>
        <family val="1"/>
      </rPr>
      <t>h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</si>
  <si>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截面惯性矩</t>
    </r>
    <r>
      <rPr>
        <sz val="11"/>
        <color theme="1"/>
        <rFont val="Times New Roman"/>
        <family val="1"/>
      </rPr>
      <t>J</t>
    </r>
    <r>
      <rPr>
        <vertAlign val="subscript"/>
        <sz val="11"/>
        <color theme="1"/>
        <rFont val="Times New Roman"/>
        <family val="1"/>
      </rPr>
      <t>k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vertAlign val="superscript"/>
        <sz val="11"/>
        <color theme="1"/>
        <rFont val="Times New Roman"/>
        <family val="1"/>
      </rPr>
      <t>4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</si>
  <si>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有效截面半径</t>
    </r>
    <r>
      <rPr>
        <sz val="11"/>
        <color theme="1"/>
        <rFont val="Times New Roman"/>
        <family val="1"/>
      </rPr>
      <t>R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</si>
  <si>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临界外压</t>
    </r>
    <r>
      <rPr>
        <sz val="11"/>
        <color theme="1"/>
        <rFont val="Times New Roman"/>
        <family val="1"/>
      </rPr>
      <t>P</t>
    </r>
    <r>
      <rPr>
        <vertAlign val="subscript"/>
        <sz val="11"/>
        <color theme="1"/>
        <rFont val="Times New Roman"/>
        <family val="1"/>
      </rPr>
      <t>cr1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MPa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</si>
  <si>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有效截面面积</t>
    </r>
    <r>
      <rPr>
        <sz val="11"/>
        <color theme="1"/>
        <rFont val="Times New Roman"/>
        <family val="1"/>
      </rPr>
      <t>F</t>
    </r>
    <r>
      <rPr>
        <vertAlign val="subscript"/>
        <sz val="11"/>
        <color theme="1"/>
        <rFont val="Times New Roman"/>
        <family val="1"/>
      </rPr>
      <t>k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mm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宋体"/>
        <family val="2"/>
        <charset val="134"/>
      </rPr>
      <t>）</t>
    </r>
    <phoneticPr fontId="1" type="noConversion"/>
  </si>
  <si>
    <r>
      <t>临界外压</t>
    </r>
    <r>
      <rPr>
        <sz val="11"/>
        <color theme="1"/>
        <rFont val="Times New Roman"/>
        <family val="1"/>
      </rPr>
      <t>P</t>
    </r>
    <r>
      <rPr>
        <vertAlign val="subscript"/>
        <sz val="11"/>
        <color theme="1"/>
        <rFont val="Times New Roman"/>
        <family val="1"/>
      </rPr>
      <t>cr2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MPa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</si>
  <si>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D/800+4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mm</t>
    </r>
    <r>
      <rPr>
        <sz val="11"/>
        <color theme="1"/>
        <rFont val="宋体"/>
        <family val="3"/>
        <charset val="134"/>
      </rPr>
      <t>）</t>
    </r>
    <phoneticPr fontId="1" type="noConversion"/>
  </si>
</sst>
</file>

<file path=xl/styles.xml><?xml version="1.0" encoding="utf-8"?>
<styleSheet xmlns="http://schemas.openxmlformats.org/spreadsheetml/2006/main">
  <numFmts count="6">
    <numFmt numFmtId="176" formatCode="0.00_ "/>
    <numFmt numFmtId="177" formatCode="0.0_ "/>
    <numFmt numFmtId="178" formatCode="0.000"/>
    <numFmt numFmtId="179" formatCode="0.0"/>
    <numFmt numFmtId="180" formatCode="0.00_);[Red]\(0.00\)"/>
    <numFmt numFmtId="181" formatCode="0.000_);[Red]\(0.000\)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</font>
    <font>
      <vertAlign val="superscript"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sz val="11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</cellStyleXfs>
  <cellXfs count="37">
    <xf numFmtId="0" fontId="0" fillId="0" borderId="0" xfId="0">
      <alignment vertical="center"/>
    </xf>
    <xf numFmtId="0" fontId="5" fillId="0" borderId="0" xfId="1" applyFont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177" fontId="5" fillId="0" borderId="1" xfId="1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176" fontId="5" fillId="0" borderId="1" xfId="1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5" fillId="2" borderId="1" xfId="1" applyFont="1" applyFill="1" applyBorder="1" applyAlignment="1">
      <alignment horizontal="center" vertical="center"/>
    </xf>
    <xf numFmtId="176" fontId="5" fillId="2" borderId="1" xfId="1" applyNumberFormat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0" fillId="0" borderId="1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79" fontId="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8" fontId="6" fillId="3" borderId="1" xfId="0" applyNumberFormat="1" applyFont="1" applyFill="1" applyBorder="1" applyAlignment="1">
      <alignment horizontal="center" vertical="center"/>
    </xf>
    <xf numFmtId="179" fontId="6" fillId="3" borderId="1" xfId="0" applyNumberFormat="1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181" fontId="6" fillId="3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3" borderId="1" xfId="0" applyFill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5">
    <cellStyle name="常规" xfId="0" builtinId="0"/>
    <cellStyle name="常规 2" xfId="1"/>
    <cellStyle name="常规 3" xfId="3"/>
    <cellStyle name="常规 4" xfId="4"/>
    <cellStyle name="常规 6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133350</xdr:rowOff>
    </xdr:from>
    <xdr:to>
      <xdr:col>15</xdr:col>
      <xdr:colOff>664350</xdr:colOff>
      <xdr:row>60</xdr:row>
      <xdr:rowOff>99975</xdr:rowOff>
    </xdr:to>
    <xdr:grpSp>
      <xdr:nvGrpSpPr>
        <xdr:cNvPr id="9" name="组合 8"/>
        <xdr:cNvGrpSpPr>
          <a:grpSpLocks noChangeAspect="1"/>
        </xdr:cNvGrpSpPr>
      </xdr:nvGrpSpPr>
      <xdr:grpSpPr>
        <a:xfrm>
          <a:off x="0" y="3761133"/>
          <a:ext cx="13361589" cy="7097951"/>
          <a:chOff x="0" y="4876800"/>
          <a:chExt cx="12608700" cy="6881775"/>
        </a:xfrm>
      </xdr:grpSpPr>
      <xdr:pic>
        <xdr:nvPicPr>
          <xdr:cNvPr id="2" name="图片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0" y="4876800"/>
            <a:ext cx="6324600" cy="2438400"/>
          </a:xfrm>
          <a:prstGeom prst="rect">
            <a:avLst/>
          </a:prstGeom>
        </xdr:spPr>
      </xdr:pic>
      <xdr:pic>
        <xdr:nvPicPr>
          <xdr:cNvPr id="3" name="图片 2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6303150" y="4886325"/>
            <a:ext cx="6305550" cy="3914775"/>
          </a:xfrm>
          <a:prstGeom prst="rect">
            <a:avLst/>
          </a:prstGeom>
        </xdr:spPr>
      </xdr:pic>
      <xdr:pic>
        <xdr:nvPicPr>
          <xdr:cNvPr id="4" name="图片 3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0" y="7329450"/>
            <a:ext cx="6229350" cy="4429125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ad&#25554;&#20214;\cx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cx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A4D0A8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L39"/>
  <sheetViews>
    <sheetView tabSelected="1" zoomScale="115" zoomScaleNormal="115" workbookViewId="0">
      <selection activeCell="F23" sqref="F23"/>
    </sheetView>
  </sheetViews>
  <sheetFormatPr defaultRowHeight="13.5"/>
  <cols>
    <col min="1" max="12" width="11.625" customWidth="1"/>
    <col min="13" max="13" width="9" customWidth="1"/>
    <col min="15" max="15" width="9" customWidth="1"/>
  </cols>
  <sheetData>
    <row r="1" spans="1:12" ht="18" customHeight="1">
      <c r="A1" s="34" t="s">
        <v>69</v>
      </c>
      <c r="B1" s="33" t="s">
        <v>66</v>
      </c>
      <c r="C1" s="33"/>
      <c r="D1" s="36" t="s">
        <v>67</v>
      </c>
      <c r="E1" s="36"/>
      <c r="F1" s="36"/>
      <c r="G1" s="36"/>
      <c r="H1" s="36"/>
      <c r="I1" s="33" t="s">
        <v>72</v>
      </c>
      <c r="J1" s="33"/>
      <c r="K1" s="33"/>
      <c r="L1" s="32" t="s">
        <v>81</v>
      </c>
    </row>
    <row r="2" spans="1:12" ht="33" customHeight="1">
      <c r="A2" s="34"/>
      <c r="B2" s="25" t="s">
        <v>94</v>
      </c>
      <c r="C2" s="16" t="s">
        <v>80</v>
      </c>
      <c r="D2" s="16" t="s">
        <v>71</v>
      </c>
      <c r="E2" s="16" t="s">
        <v>82</v>
      </c>
      <c r="F2" s="16" t="s">
        <v>78</v>
      </c>
      <c r="G2" s="16" t="s">
        <v>70</v>
      </c>
      <c r="H2" s="16" t="s">
        <v>73</v>
      </c>
      <c r="I2" s="16" t="s">
        <v>79</v>
      </c>
      <c r="J2" s="16" t="s">
        <v>70</v>
      </c>
      <c r="K2" s="16" t="s">
        <v>73</v>
      </c>
      <c r="L2" s="32"/>
    </row>
    <row r="3" spans="1:12" ht="18" customHeight="1">
      <c r="A3" s="15">
        <v>800</v>
      </c>
      <c r="B3" s="17">
        <f>A3/800+4</f>
        <v>5</v>
      </c>
      <c r="C3" s="15">
        <v>6</v>
      </c>
      <c r="D3" s="15">
        <f>210000</f>
        <v>210000</v>
      </c>
      <c r="E3" s="18">
        <f>(101.3+19*1.46)/1000</f>
        <v>0.12903999999999999</v>
      </c>
      <c r="F3" s="19">
        <f>E3*2</f>
        <v>0.25807999999999998</v>
      </c>
      <c r="G3" s="20">
        <f>(F3/2/D3)^(1/3)*A3</f>
        <v>6.8012959577544736</v>
      </c>
      <c r="H3" s="21">
        <f>G3+2</f>
        <v>8.8012959577544727</v>
      </c>
      <c r="I3" s="15">
        <v>1.89</v>
      </c>
      <c r="J3" s="20">
        <f>I3*A3/2/0.9/0.85/235</f>
        <v>4.2052565707133915</v>
      </c>
      <c r="K3" s="21">
        <f>J3+2</f>
        <v>6.2052565707133915</v>
      </c>
      <c r="L3" s="21">
        <f>MAX(B3,C3,H3,K3)</f>
        <v>8.8012959577544727</v>
      </c>
    </row>
    <row r="4" spans="1:12" ht="18" customHeight="1">
      <c r="A4" s="15">
        <v>700</v>
      </c>
      <c r="B4" s="17">
        <f t="shared" ref="B4:B6" si="0">A4/800+4</f>
        <v>4.875</v>
      </c>
      <c r="C4" s="15">
        <v>6</v>
      </c>
      <c r="D4" s="31">
        <f t="shared" ref="D4:D6" si="1">210000</f>
        <v>210000</v>
      </c>
      <c r="E4" s="18">
        <f>(101.3+19*1.36)/1000</f>
        <v>0.12714</v>
      </c>
      <c r="F4" s="19">
        <f t="shared" ref="F4:F6" si="2">E4*2</f>
        <v>0.25428000000000001</v>
      </c>
      <c r="G4" s="20">
        <f t="shared" ref="G4:G6" si="3">(F4/2/D4)^(1/3)*A4</f>
        <v>5.9217810260937176</v>
      </c>
      <c r="H4" s="21">
        <f t="shared" ref="H4:H6" si="4">G4+2</f>
        <v>7.9217810260937176</v>
      </c>
      <c r="I4" s="15">
        <v>3.07</v>
      </c>
      <c r="J4" s="20">
        <f t="shared" ref="J4:J6" si="5">I4*A4/2/0.9/0.85/235</f>
        <v>5.9769155889306083</v>
      </c>
      <c r="K4" s="21">
        <f t="shared" ref="K4:K6" si="6">J4+2</f>
        <v>7.9769155889306083</v>
      </c>
      <c r="L4" s="21">
        <f t="shared" ref="L4:L6" si="7">MAX(B4,C4,H4,K4)</f>
        <v>7.9769155889306083</v>
      </c>
    </row>
    <row r="5" spans="1:12" ht="18" customHeight="1">
      <c r="A5" s="15">
        <v>600</v>
      </c>
      <c r="B5" s="17">
        <f t="shared" si="0"/>
        <v>4.75</v>
      </c>
      <c r="C5" s="15">
        <v>6</v>
      </c>
      <c r="D5" s="31">
        <f t="shared" si="1"/>
        <v>210000</v>
      </c>
      <c r="E5" s="18">
        <f>(101.3+19*1.26)/1000</f>
        <v>0.12523999999999999</v>
      </c>
      <c r="F5" s="19">
        <f t="shared" si="2"/>
        <v>0.25047999999999998</v>
      </c>
      <c r="G5" s="20">
        <f t="shared" si="3"/>
        <v>5.0504007225625713</v>
      </c>
      <c r="H5" s="21">
        <f t="shared" si="4"/>
        <v>7.0504007225625713</v>
      </c>
      <c r="I5" s="15">
        <v>1.22</v>
      </c>
      <c r="J5" s="20">
        <f t="shared" si="5"/>
        <v>2.0358781810596578</v>
      </c>
      <c r="K5" s="21">
        <f t="shared" si="6"/>
        <v>4.0358781810596582</v>
      </c>
      <c r="L5" s="21">
        <f t="shared" si="7"/>
        <v>7.0504007225625713</v>
      </c>
    </row>
    <row r="6" spans="1:12" ht="18" customHeight="1">
      <c r="A6" s="15">
        <v>500</v>
      </c>
      <c r="B6" s="17">
        <f t="shared" si="0"/>
        <v>4.625</v>
      </c>
      <c r="C6" s="15">
        <v>6</v>
      </c>
      <c r="D6" s="31">
        <f t="shared" si="1"/>
        <v>210000</v>
      </c>
      <c r="E6" s="18">
        <f>(101.3+19*1.21)/1000</f>
        <v>0.12429</v>
      </c>
      <c r="F6" s="19">
        <f t="shared" si="2"/>
        <v>0.24858</v>
      </c>
      <c r="G6" s="20">
        <f t="shared" si="3"/>
        <v>4.1979987226144635</v>
      </c>
      <c r="H6" s="21">
        <f t="shared" si="4"/>
        <v>6.1979987226144635</v>
      </c>
      <c r="I6" s="15">
        <v>1.84</v>
      </c>
      <c r="J6" s="20">
        <f t="shared" si="5"/>
        <v>2.5587539980531222</v>
      </c>
      <c r="K6" s="21">
        <f t="shared" si="6"/>
        <v>4.5587539980531222</v>
      </c>
      <c r="L6" s="21">
        <f t="shared" si="7"/>
        <v>6.1979987226144635</v>
      </c>
    </row>
    <row r="7" spans="1:12" ht="18" customHeight="1"/>
    <row r="8" spans="1:12" ht="18" hidden="1" customHeight="1">
      <c r="A8" s="33" t="s">
        <v>68</v>
      </c>
      <c r="B8" s="33"/>
      <c r="C8" s="33"/>
      <c r="D8" s="33"/>
      <c r="E8" s="33"/>
      <c r="F8" s="33"/>
      <c r="G8" s="33"/>
    </row>
    <row r="9" spans="1:12" ht="33" hidden="1" customHeight="1">
      <c r="A9" s="16" t="s">
        <v>71</v>
      </c>
      <c r="B9" s="16" t="s">
        <v>69</v>
      </c>
      <c r="C9" s="16" t="s">
        <v>73</v>
      </c>
      <c r="D9" s="16" t="s">
        <v>70</v>
      </c>
      <c r="E9" s="16" t="s">
        <v>74</v>
      </c>
      <c r="F9" s="16" t="s">
        <v>82</v>
      </c>
      <c r="G9" s="16" t="s">
        <v>75</v>
      </c>
    </row>
    <row r="10" spans="1:12" ht="18" hidden="1" customHeight="1">
      <c r="A10" s="31">
        <f>210000</f>
        <v>210000</v>
      </c>
      <c r="B10" s="15">
        <v>900</v>
      </c>
      <c r="C10" s="15">
        <v>8</v>
      </c>
      <c r="D10" s="22">
        <f>C10-2</f>
        <v>6</v>
      </c>
      <c r="E10" s="19">
        <f>2*A10*(D10/B10)^3</f>
        <v>0.12444444444444448</v>
      </c>
      <c r="F10" s="18">
        <f>(101.3+19*1.46)/1000</f>
        <v>0.12903999999999999</v>
      </c>
      <c r="G10" s="20">
        <f>E10/F10</f>
        <v>0.96438658124956989</v>
      </c>
    </row>
    <row r="11" spans="1:12" ht="18" hidden="1" customHeight="1">
      <c r="A11" s="31">
        <f t="shared" ref="A11:A14" si="8">210000</f>
        <v>210000</v>
      </c>
      <c r="B11" s="15">
        <v>700</v>
      </c>
      <c r="C11" s="15">
        <v>8</v>
      </c>
      <c r="D11" s="22">
        <f t="shared" ref="D11:D14" si="9">C11-2</f>
        <v>6</v>
      </c>
      <c r="E11" s="19">
        <f t="shared" ref="E11:E14" si="10">2*A11*(D11/B11)^3</f>
        <v>0.26448979591836735</v>
      </c>
      <c r="F11" s="18">
        <f>(101.3+19*1.36)/1000</f>
        <v>0.12714</v>
      </c>
      <c r="G11" s="20">
        <f t="shared" ref="G11:G14" si="11">E11/F11</f>
        <v>2.0803035702246921</v>
      </c>
    </row>
    <row r="12" spans="1:12" ht="18" hidden="1" customHeight="1">
      <c r="A12" s="31">
        <f t="shared" si="8"/>
        <v>210000</v>
      </c>
      <c r="B12" s="15">
        <v>500</v>
      </c>
      <c r="C12" s="15">
        <v>8</v>
      </c>
      <c r="D12" s="22">
        <f t="shared" si="9"/>
        <v>6</v>
      </c>
      <c r="E12" s="19">
        <f t="shared" si="10"/>
        <v>0.72575999999999996</v>
      </c>
      <c r="F12" s="18">
        <f>(101.3+19*1.26)/1000</f>
        <v>0.12523999999999999</v>
      </c>
      <c r="G12" s="20">
        <f t="shared" si="11"/>
        <v>5.7949536889172792</v>
      </c>
    </row>
    <row r="13" spans="1:12" ht="18" hidden="1" customHeight="1">
      <c r="A13" s="31">
        <f t="shared" si="8"/>
        <v>210000</v>
      </c>
      <c r="B13" s="15">
        <v>400</v>
      </c>
      <c r="C13" s="15">
        <v>6</v>
      </c>
      <c r="D13" s="22">
        <f t="shared" si="9"/>
        <v>4</v>
      </c>
      <c r="E13" s="19">
        <f t="shared" si="10"/>
        <v>0.4200000000000001</v>
      </c>
      <c r="F13" s="18">
        <f>(101.3+19*1.21)/1000</f>
        <v>0.12429</v>
      </c>
      <c r="G13" s="20">
        <f t="shared" si="11"/>
        <v>3.3791938209027284</v>
      </c>
    </row>
    <row r="14" spans="1:12" ht="18" hidden="1" customHeight="1">
      <c r="A14" s="31">
        <f t="shared" si="8"/>
        <v>210000</v>
      </c>
      <c r="B14" s="15">
        <v>250</v>
      </c>
      <c r="C14" s="15">
        <v>6</v>
      </c>
      <c r="D14" s="22">
        <f t="shared" si="9"/>
        <v>4</v>
      </c>
      <c r="E14" s="19">
        <f t="shared" si="10"/>
        <v>1.7203200000000001</v>
      </c>
      <c r="F14" s="18">
        <f>(101.3+19*1.14)/1000</f>
        <v>0.12296</v>
      </c>
      <c r="G14" s="20">
        <f t="shared" si="11"/>
        <v>13.99089134677944</v>
      </c>
    </row>
    <row r="15" spans="1:12" ht="18" customHeight="1"/>
    <row r="16" spans="1:12" ht="18" customHeight="1">
      <c r="A16" s="36" t="s">
        <v>76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2" ht="33" customHeight="1">
      <c r="A17" s="16" t="s">
        <v>69</v>
      </c>
      <c r="B17" s="16" t="s">
        <v>83</v>
      </c>
      <c r="C17" s="16" t="s">
        <v>73</v>
      </c>
      <c r="D17" s="16" t="s">
        <v>70</v>
      </c>
      <c r="E17" s="15" t="s">
        <v>84</v>
      </c>
      <c r="F17" s="25" t="s">
        <v>86</v>
      </c>
      <c r="G17" s="16" t="s">
        <v>71</v>
      </c>
      <c r="H17" s="15" t="s">
        <v>85</v>
      </c>
      <c r="I17" s="16" t="s">
        <v>78</v>
      </c>
      <c r="J17" s="16" t="s">
        <v>82</v>
      </c>
      <c r="K17" s="16" t="s">
        <v>75</v>
      </c>
    </row>
    <row r="18" spans="1:12" ht="18" customHeight="1">
      <c r="A18" s="15">
        <v>900</v>
      </c>
      <c r="B18" s="15">
        <v>4000</v>
      </c>
      <c r="C18" s="15">
        <v>8</v>
      </c>
      <c r="D18" s="22">
        <f>C18-2</f>
        <v>6</v>
      </c>
      <c r="E18" s="22">
        <f>ROUND(1.63*(A18/B18)^0.5*(A18/D18)^0.25,0)</f>
        <v>3</v>
      </c>
      <c r="F18" s="26">
        <v>3</v>
      </c>
      <c r="G18" s="27">
        <f>210000</f>
        <v>210000</v>
      </c>
      <c r="H18" s="24">
        <v>0.3</v>
      </c>
      <c r="I18" s="28">
        <f>G18/(F18^2-1)/(1+(F18*B18/PI()/A18*2)^2)^2*D18/A18*2+G18/12/(1-H18^2)*(F18^2-1+(2*F18^2-1-H18)/(1+(F18*B18/PI()/A18*2)^2))*(D18/A18*2)^3</f>
        <v>0.44068064287713155</v>
      </c>
      <c r="J18" s="18">
        <f>(101.3+19*1.46)/1000</f>
        <v>0.12903999999999999</v>
      </c>
      <c r="K18" s="20">
        <f>I18/J18</f>
        <v>3.415070078093084</v>
      </c>
    </row>
    <row r="19" spans="1:12" ht="18" customHeight="1">
      <c r="A19" s="23"/>
    </row>
    <row r="20" spans="1:12" ht="18" hidden="1" customHeight="1">
      <c r="A20" s="33" t="s">
        <v>77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ht="33" hidden="1" customHeight="1">
      <c r="A21" s="16" t="s">
        <v>71</v>
      </c>
      <c r="B21" s="16" t="s">
        <v>69</v>
      </c>
      <c r="C21" s="16" t="s">
        <v>83</v>
      </c>
      <c r="D21" s="16" t="s">
        <v>87</v>
      </c>
      <c r="E21" s="16" t="s">
        <v>88</v>
      </c>
      <c r="F21" s="29" t="s">
        <v>89</v>
      </c>
      <c r="G21" s="29" t="s">
        <v>90</v>
      </c>
      <c r="H21" s="16" t="s">
        <v>91</v>
      </c>
      <c r="I21" s="29" t="s">
        <v>92</v>
      </c>
      <c r="J21" s="16" t="s">
        <v>93</v>
      </c>
      <c r="K21" s="16" t="s">
        <v>82</v>
      </c>
      <c r="L21" s="16" t="s">
        <v>75</v>
      </c>
    </row>
    <row r="22" spans="1:12" ht="18" hidden="1" customHeight="1">
      <c r="A22" s="27">
        <f>210000</f>
        <v>210000</v>
      </c>
      <c r="B22" s="15">
        <v>900</v>
      </c>
      <c r="C22" s="15">
        <v>4000</v>
      </c>
      <c r="D22" s="27">
        <v>10</v>
      </c>
      <c r="E22" s="27">
        <v>100</v>
      </c>
      <c r="F22" s="28">
        <f>D22*E22^3/12</f>
        <v>833333.33333333337</v>
      </c>
      <c r="G22" s="14"/>
      <c r="H22" s="30"/>
      <c r="I22" s="30"/>
      <c r="J22" s="30"/>
      <c r="K22" s="18">
        <f>(101.3+19*1.46)/1000</f>
        <v>0.12903999999999999</v>
      </c>
      <c r="L22" s="20"/>
    </row>
    <row r="23" spans="1:12" ht="18" customHeight="1"/>
    <row r="24" spans="1:12" ht="18" customHeight="1"/>
    <row r="25" spans="1:12" ht="18" customHeight="1"/>
    <row r="26" spans="1:12" ht="18" customHeight="1"/>
    <row r="27" spans="1:12" ht="18" customHeight="1"/>
    <row r="28" spans="1:12" ht="18" customHeight="1"/>
    <row r="29" spans="1:12" ht="18" customHeight="1"/>
    <row r="30" spans="1:12" ht="18" customHeight="1"/>
    <row r="31" spans="1:12" ht="18" customHeight="1"/>
    <row r="32" spans="1:1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</sheetData>
  <mergeCells count="8">
    <mergeCell ref="L1:L2"/>
    <mergeCell ref="A16:K16"/>
    <mergeCell ref="A20:L20"/>
    <mergeCell ref="A8:G8"/>
    <mergeCell ref="B1:C1"/>
    <mergeCell ref="A1:A2"/>
    <mergeCell ref="D1:H1"/>
    <mergeCell ref="I1:K1"/>
  </mergeCells>
  <phoneticPr fontId="1" type="noConversion"/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N21"/>
  <sheetViews>
    <sheetView workbookViewId="0">
      <selection activeCell="E13" sqref="E13"/>
    </sheetView>
  </sheetViews>
  <sheetFormatPr defaultRowHeight="20.100000000000001" customHeight="1"/>
  <cols>
    <col min="1" max="1" width="4.75" style="1" bestFit="1" customWidth="1"/>
    <col min="2" max="2" width="29.375" style="1" customWidth="1"/>
    <col min="3" max="3" width="4.75" style="1" bestFit="1" customWidth="1"/>
    <col min="4" max="4" width="50.875" style="1" bestFit="1" customWidth="1"/>
    <col min="5" max="5" width="8" style="1" bestFit="1" customWidth="1"/>
    <col min="6" max="6" width="25.75" style="1" bestFit="1" customWidth="1"/>
    <col min="7" max="7" width="9" style="1"/>
    <col min="8" max="8" width="13.875" style="1" bestFit="1" customWidth="1"/>
    <col min="9" max="9" width="6" style="1" bestFit="1" customWidth="1"/>
    <col min="10" max="11" width="9.625" style="1" bestFit="1" customWidth="1"/>
    <col min="12" max="13" width="8" style="1" bestFit="1" customWidth="1"/>
    <col min="14" max="16384" width="9" style="1"/>
  </cols>
  <sheetData>
    <row r="1" spans="1:14" ht="20.100000000000001" customHeight="1">
      <c r="A1" s="35" t="s">
        <v>3</v>
      </c>
      <c r="B1" s="35"/>
      <c r="C1" s="35"/>
      <c r="D1" s="35"/>
      <c r="E1" s="35"/>
      <c r="F1" s="35"/>
      <c r="H1" s="2" t="s">
        <v>32</v>
      </c>
      <c r="I1" s="2" t="s">
        <v>21</v>
      </c>
      <c r="J1" s="2" t="s">
        <v>23</v>
      </c>
      <c r="K1" s="2" t="s">
        <v>22</v>
      </c>
      <c r="L1" s="2" t="s">
        <v>24</v>
      </c>
      <c r="M1" s="2" t="s">
        <v>20</v>
      </c>
    </row>
    <row r="2" spans="1:14" ht="20.100000000000001" customHeight="1">
      <c r="A2" s="4" t="s">
        <v>4</v>
      </c>
      <c r="B2" s="4" t="s">
        <v>5</v>
      </c>
      <c r="C2" s="4" t="s">
        <v>6</v>
      </c>
      <c r="D2" s="2" t="s">
        <v>33</v>
      </c>
      <c r="E2" s="4" t="s">
        <v>7</v>
      </c>
      <c r="F2" s="4" t="s">
        <v>8</v>
      </c>
      <c r="H2" s="2" t="s">
        <v>0</v>
      </c>
      <c r="I2" s="4">
        <v>6483.7</v>
      </c>
      <c r="J2" s="9">
        <v>1000</v>
      </c>
      <c r="K2" s="9">
        <v>100</v>
      </c>
      <c r="L2" s="9">
        <v>140</v>
      </c>
      <c r="M2" s="9">
        <f>I2-J2-K2-L2</f>
        <v>5243.7</v>
      </c>
    </row>
    <row r="3" spans="1:14" ht="20.100000000000001" customHeight="1">
      <c r="A3" s="4">
        <v>1</v>
      </c>
      <c r="B3" s="6" t="s">
        <v>9</v>
      </c>
      <c r="C3" s="4" t="s">
        <v>16</v>
      </c>
      <c r="D3" s="6" t="str">
        <f>[1]!cx(E3)</f>
        <v>=(1300×2.16+100×2+160×3.82+6856.8×1.46+17.24×88+56.75×43)×1.08</v>
      </c>
      <c r="E3" s="3">
        <f>(1300*2.16+100*2+160*3.82+6856.8*1.46+17.24*88+56.75*43)*1.08</f>
        <v>18994.49784</v>
      </c>
      <c r="F3" s="4"/>
      <c r="H3" s="4" t="s">
        <v>17</v>
      </c>
      <c r="I3" s="4">
        <v>447</v>
      </c>
      <c r="J3" s="9">
        <v>100</v>
      </c>
      <c r="K3" s="9">
        <v>0</v>
      </c>
      <c r="L3" s="9">
        <v>20</v>
      </c>
      <c r="M3" s="9">
        <f t="shared" ref="M3:M5" si="0">I3-J3-K3-L3</f>
        <v>327</v>
      </c>
    </row>
    <row r="4" spans="1:14" ht="20.100000000000001" customHeight="1">
      <c r="A4" s="4">
        <v>2</v>
      </c>
      <c r="B4" s="6" t="s">
        <v>10</v>
      </c>
      <c r="C4" s="4" t="s">
        <v>16</v>
      </c>
      <c r="D4" s="6" t="str">
        <f>[1]!cx(E4)</f>
        <v>=0.129÷4</v>
      </c>
      <c r="E4" s="3">
        <f>E3/4</f>
        <v>4748.62446</v>
      </c>
      <c r="F4" s="4"/>
      <c r="H4" s="4" t="s">
        <v>18</v>
      </c>
      <c r="I4" s="4">
        <v>850.4</v>
      </c>
      <c r="J4" s="9">
        <v>100</v>
      </c>
      <c r="K4" s="9">
        <v>0</v>
      </c>
      <c r="L4" s="9">
        <v>0</v>
      </c>
      <c r="M4" s="9">
        <f t="shared" si="0"/>
        <v>750.4</v>
      </c>
    </row>
    <row r="5" spans="1:14" ht="20.100000000000001" customHeight="1">
      <c r="A5" s="4">
        <v>3</v>
      </c>
      <c r="B5" s="6" t="s">
        <v>11</v>
      </c>
      <c r="C5" s="4" t="s">
        <v>16</v>
      </c>
      <c r="D5" s="6" t="str">
        <f>[1]!cx(E5)</f>
        <v>=(1300×2.4+100×2.19+160×3.45+6856.8×1.52+18.17×88+59.49×43)×1.08</v>
      </c>
      <c r="E5" s="3">
        <f>(1300*2.4+100*2.19+160*3.45+6856.8*1.52+18.17*88+59.49*43)*1.08</f>
        <v>19947.995280000003</v>
      </c>
      <c r="F5" s="4"/>
      <c r="H5" s="4" t="s">
        <v>19</v>
      </c>
      <c r="I5" s="4">
        <v>635.70000000000005</v>
      </c>
      <c r="J5" s="9">
        <v>100</v>
      </c>
      <c r="K5" s="9">
        <v>0</v>
      </c>
      <c r="L5" s="9">
        <v>0</v>
      </c>
      <c r="M5" s="9">
        <f t="shared" si="0"/>
        <v>535.70000000000005</v>
      </c>
    </row>
    <row r="6" spans="1:14" ht="20.100000000000001" customHeight="1">
      <c r="A6" s="4">
        <v>4</v>
      </c>
      <c r="B6" s="6" t="s">
        <v>12</v>
      </c>
      <c r="C6" s="4" t="s">
        <v>16</v>
      </c>
      <c r="D6" s="6" t="str">
        <f>[1]!cx(E6)</f>
        <v>=(1300×1.79+100×1.79+160×0+6856.8×1.79)×1.08</v>
      </c>
      <c r="E6" s="3">
        <f>(1300*1.79+100*1.79+160*0+6856.8*1.79)*1.08</f>
        <v>15962.045760000001</v>
      </c>
      <c r="F6" s="4"/>
      <c r="H6" s="2" t="s">
        <v>2</v>
      </c>
      <c r="I6" s="4">
        <f>SUM(I2:I5)</f>
        <v>8416.7999999999993</v>
      </c>
      <c r="J6" s="7">
        <f t="shared" ref="J6:M6" si="1">SUM(J2:J5)</f>
        <v>1300</v>
      </c>
      <c r="K6" s="7">
        <f t="shared" si="1"/>
        <v>100</v>
      </c>
      <c r="L6" s="7">
        <f t="shared" si="1"/>
        <v>160</v>
      </c>
      <c r="M6" s="7">
        <f t="shared" si="1"/>
        <v>6856.7999999999993</v>
      </c>
    </row>
    <row r="7" spans="1:14" ht="20.100000000000001" customHeight="1">
      <c r="A7" s="4">
        <v>5</v>
      </c>
      <c r="B7" s="6" t="s">
        <v>34</v>
      </c>
      <c r="C7" s="4" t="s">
        <v>16</v>
      </c>
      <c r="D7" s="6" t="str">
        <f>[1]!cx(E7)</f>
        <v>=(160×1.19)×1.08</v>
      </c>
      <c r="E7" s="3">
        <f>(160*1.19)*1.08</f>
        <v>205.63199999999998</v>
      </c>
      <c r="F7" s="4"/>
    </row>
    <row r="8" spans="1:14" ht="20.100000000000001" customHeight="1">
      <c r="A8" s="4">
        <v>6</v>
      </c>
      <c r="B8" s="6" t="s">
        <v>36</v>
      </c>
      <c r="C8" s="4" t="s">
        <v>16</v>
      </c>
      <c r="D8" s="6" t="str">
        <f>[1]!cx(E8)</f>
        <v>=1.5×1.5×1.5×88×1.08</v>
      </c>
      <c r="E8" s="3">
        <f>1.5*1.5*1.5*88*1.08</f>
        <v>320.76000000000005</v>
      </c>
      <c r="F8" s="4"/>
      <c r="H8" s="2" t="s">
        <v>31</v>
      </c>
      <c r="I8" s="2" t="s">
        <v>23</v>
      </c>
      <c r="J8" s="2" t="s">
        <v>22</v>
      </c>
      <c r="K8" s="2" t="s">
        <v>24</v>
      </c>
      <c r="L8" s="2" t="s">
        <v>20</v>
      </c>
      <c r="M8" s="2" t="s">
        <v>37</v>
      </c>
      <c r="N8" s="2" t="s">
        <v>50</v>
      </c>
    </row>
    <row r="9" spans="1:14" ht="20.100000000000001" customHeight="1">
      <c r="A9" s="4">
        <v>7</v>
      </c>
      <c r="B9" s="6" t="s">
        <v>45</v>
      </c>
      <c r="C9" s="4" t="s">
        <v>16</v>
      </c>
      <c r="D9" s="6" t="str">
        <f>[1]!cx(E9)</f>
        <v>=(2.16×2.65+2.6×1.6×0.3)×43×1.08</v>
      </c>
      <c r="E9" s="3">
        <f>(2.16*2.65+2.6*1.6*0.3)*43*1.08</f>
        <v>323.77967999999998</v>
      </c>
      <c r="F9" s="4"/>
      <c r="H9" s="2" t="s">
        <v>29</v>
      </c>
      <c r="I9" s="5">
        <f>2.57+0.13</f>
        <v>2.6999999999999997</v>
      </c>
      <c r="J9" s="5">
        <f>2.37+0.13</f>
        <v>2.5</v>
      </c>
      <c r="K9" s="5">
        <f>4.64+0.13</f>
        <v>4.7699999999999996</v>
      </c>
      <c r="L9" s="5">
        <f>1.7+0.13</f>
        <v>1.83</v>
      </c>
      <c r="M9" s="5">
        <f>(5.1*5.1+4*3.3*3.3+1.5*1.5)/6*1.8</f>
        <v>21.545999999999999</v>
      </c>
      <c r="N9" s="5">
        <f>(8.1*7.1+4*5.35*4.35+2.6*1.6)/6*2.75</f>
        <v>70.931666666666672</v>
      </c>
    </row>
    <row r="10" spans="1:14" ht="20.100000000000001" customHeight="1">
      <c r="A10" s="4">
        <v>8</v>
      </c>
      <c r="B10" s="6" t="s">
        <v>44</v>
      </c>
      <c r="C10" s="4" t="s">
        <v>16</v>
      </c>
      <c r="D10" s="6" t="str">
        <f>[1]!cx(E10)</f>
        <v>=(2.6×1.6×0.08)×43×1.08</v>
      </c>
      <c r="E10" s="3">
        <f>(2.6*1.6*0.08)*43*1.08</f>
        <v>15.455232000000002</v>
      </c>
      <c r="F10" s="4"/>
      <c r="H10" s="2" t="s">
        <v>25</v>
      </c>
      <c r="I10" s="8">
        <f>I9*0.8</f>
        <v>2.1599999999999997</v>
      </c>
      <c r="J10" s="8">
        <f>J9*0.8</f>
        <v>2</v>
      </c>
      <c r="K10" s="8">
        <f>K9*0.8</f>
        <v>3.8159999999999998</v>
      </c>
      <c r="L10" s="8">
        <f>L9*0.8</f>
        <v>1.4640000000000002</v>
      </c>
      <c r="M10" s="8">
        <f t="shared" ref="M10:N10" si="2">M9*0.8</f>
        <v>17.236799999999999</v>
      </c>
      <c r="N10" s="8">
        <f t="shared" si="2"/>
        <v>56.745333333333342</v>
      </c>
    </row>
    <row r="11" spans="1:14" ht="20.100000000000001" customHeight="1">
      <c r="A11" s="4">
        <v>9</v>
      </c>
      <c r="B11" s="6" t="s">
        <v>46</v>
      </c>
      <c r="C11" s="4" t="s">
        <v>16</v>
      </c>
      <c r="D11" s="6" t="str">
        <f>[1]!cx(E11)</f>
        <v>=(0.3×0.4×0.5)×43×1.08</v>
      </c>
      <c r="E11" s="3">
        <f>(0.3*0.4*0.5)*43*1.08</f>
        <v>2.7864000000000004</v>
      </c>
      <c r="F11" s="4"/>
      <c r="H11" s="2" t="s">
        <v>26</v>
      </c>
      <c r="I11" s="8">
        <f>I9*0.2</f>
        <v>0.53999999999999992</v>
      </c>
      <c r="J11" s="8">
        <f>J9*0.2</f>
        <v>0.5</v>
      </c>
      <c r="K11" s="8">
        <f>K9*0.2</f>
        <v>0.95399999999999996</v>
      </c>
      <c r="L11" s="8">
        <f>L9*0.2</f>
        <v>0.36600000000000005</v>
      </c>
      <c r="M11" s="8">
        <f t="shared" ref="M11:N11" si="3">M9*0.2</f>
        <v>4.3091999999999997</v>
      </c>
      <c r="N11" s="8">
        <f t="shared" si="3"/>
        <v>14.186333333333335</v>
      </c>
    </row>
    <row r="12" spans="1:14" ht="20.100000000000001" customHeight="1">
      <c r="A12" s="4">
        <v>10</v>
      </c>
      <c r="B12" s="6" t="s">
        <v>13</v>
      </c>
      <c r="C12" s="4" t="s">
        <v>14</v>
      </c>
      <c r="D12" s="6" t="str">
        <f>[1]!cx(E12)</f>
        <v>=SUM(0:0.264)×0.1</v>
      </c>
      <c r="E12" s="3">
        <f>SUM(E8:E11)*0.1</f>
        <v>66.278131200000004</v>
      </c>
      <c r="F12" s="4"/>
      <c r="H12" s="2" t="s">
        <v>27</v>
      </c>
      <c r="I12" s="8">
        <v>2.4</v>
      </c>
      <c r="J12" s="8">
        <v>2.19</v>
      </c>
      <c r="K12" s="8">
        <v>3.45</v>
      </c>
      <c r="L12" s="8">
        <v>1.52</v>
      </c>
      <c r="M12" s="8">
        <f>M9-1.5*1.5*1.5</f>
        <v>18.170999999999999</v>
      </c>
      <c r="N12" s="8">
        <f>N9-2.6*2.75*1.6</f>
        <v>59.491666666666674</v>
      </c>
    </row>
    <row r="13" spans="1:14" ht="20.100000000000001" customHeight="1">
      <c r="A13" s="4">
        <v>11</v>
      </c>
      <c r="B13" s="6" t="s">
        <v>47</v>
      </c>
      <c r="C13" s="4" t="s">
        <v>16</v>
      </c>
      <c r="D13" s="6" t="str">
        <f>[1]!cx(E13)</f>
        <v>=(1.6×1.6×0.1×88+2.7×1.7×0.1×43)×1.08</v>
      </c>
      <c r="E13" s="3">
        <f>(1.6*1.6*0.1*88+2.7*1.7*0.1*43)*1.08</f>
        <v>45.646200000000015</v>
      </c>
      <c r="F13" s="4"/>
      <c r="H13" s="4" t="s">
        <v>28</v>
      </c>
      <c r="I13" s="8">
        <v>1.79</v>
      </c>
      <c r="J13" s="8">
        <v>1.79</v>
      </c>
      <c r="K13" s="8">
        <v>0</v>
      </c>
      <c r="L13" s="8">
        <v>1.79</v>
      </c>
      <c r="M13" s="8">
        <v>0</v>
      </c>
      <c r="N13" s="8">
        <v>0</v>
      </c>
    </row>
    <row r="14" spans="1:14" ht="20.100000000000001" customHeight="1">
      <c r="A14" s="4">
        <v>12</v>
      </c>
      <c r="B14" s="6" t="s">
        <v>48</v>
      </c>
      <c r="C14" s="4" t="s">
        <v>49</v>
      </c>
      <c r="D14" s="6" t="str">
        <f>[1]!cx(E14)</f>
        <v>=3.14×0.4×2×43×1.08</v>
      </c>
      <c r="E14" s="3">
        <f>3.14*0.4*2*43*1.08</f>
        <v>116.65728000000003</v>
      </c>
      <c r="F14" s="4"/>
      <c r="H14" s="4" t="s">
        <v>30</v>
      </c>
      <c r="I14" s="8">
        <v>0</v>
      </c>
      <c r="J14" s="8">
        <v>0</v>
      </c>
      <c r="K14" s="8">
        <v>1.19</v>
      </c>
      <c r="L14" s="8">
        <v>0</v>
      </c>
      <c r="M14" s="8">
        <v>0</v>
      </c>
      <c r="N14" s="8">
        <v>0</v>
      </c>
    </row>
    <row r="15" spans="1:14" ht="20.100000000000001" customHeight="1">
      <c r="A15" s="4">
        <v>13</v>
      </c>
      <c r="B15" s="10" t="s">
        <v>52</v>
      </c>
      <c r="C15" s="2" t="s">
        <v>51</v>
      </c>
      <c r="D15" s="6" t="str">
        <f>[1]!cx(E15)</f>
        <v>=5×43×1.08</v>
      </c>
      <c r="E15" s="3">
        <f>5*43*1.08</f>
        <v>232.20000000000002</v>
      </c>
      <c r="F15" s="4"/>
    </row>
    <row r="16" spans="1:14" ht="20.100000000000001" customHeight="1">
      <c r="A16" s="4">
        <v>14</v>
      </c>
      <c r="B16" s="13" t="s">
        <v>63</v>
      </c>
      <c r="C16" s="4" t="s">
        <v>15</v>
      </c>
      <c r="D16" s="6" t="str">
        <f>[1]!cx(E16)</f>
        <v>=5028.3×1.08</v>
      </c>
      <c r="E16" s="3">
        <f>5028.3*1.08</f>
        <v>5430.5640000000003</v>
      </c>
      <c r="F16" s="2" t="s">
        <v>65</v>
      </c>
      <c r="H16" s="2" t="s">
        <v>38</v>
      </c>
      <c r="I16" s="2" t="s">
        <v>37</v>
      </c>
      <c r="J16" s="2" t="s">
        <v>39</v>
      </c>
      <c r="K16" s="2" t="s">
        <v>40</v>
      </c>
      <c r="L16" s="2" t="s">
        <v>41</v>
      </c>
      <c r="M16" s="2" t="s">
        <v>42</v>
      </c>
      <c r="N16" s="2" t="s">
        <v>43</v>
      </c>
    </row>
    <row r="17" spans="1:14" ht="20.100000000000001" customHeight="1">
      <c r="A17" s="4">
        <v>15</v>
      </c>
      <c r="B17" s="13" t="s">
        <v>64</v>
      </c>
      <c r="C17" s="4" t="s">
        <v>15</v>
      </c>
      <c r="D17" s="6" t="str">
        <f>[1]!cx(E17)</f>
        <v>=1455.4×1.08</v>
      </c>
      <c r="E17" s="3">
        <f>1455.4*1.08</f>
        <v>1571.8320000000001</v>
      </c>
      <c r="F17" s="2" t="s">
        <v>65</v>
      </c>
      <c r="H17" s="2" t="s">
        <v>0</v>
      </c>
      <c r="I17" s="9">
        <v>67</v>
      </c>
      <c r="J17" s="9">
        <v>7</v>
      </c>
      <c r="K17" s="9">
        <v>7</v>
      </c>
      <c r="L17" s="9">
        <v>9</v>
      </c>
      <c r="M17" s="9">
        <v>8</v>
      </c>
      <c r="N17" s="9">
        <v>7</v>
      </c>
    </row>
    <row r="18" spans="1:14" ht="20.100000000000001" customHeight="1">
      <c r="A18" s="4">
        <v>16</v>
      </c>
      <c r="B18" s="6" t="s">
        <v>35</v>
      </c>
      <c r="C18" s="4" t="s">
        <v>15</v>
      </c>
      <c r="D18" s="6" t="str">
        <f>[1]!cx(E18)</f>
        <v>=(1933.1+21×5)×1.08</v>
      </c>
      <c r="E18" s="3">
        <f>(1933.1+21*5)*1.08</f>
        <v>2201.1480000000001</v>
      </c>
      <c r="F18" s="4"/>
      <c r="H18" s="4" t="s">
        <v>17</v>
      </c>
      <c r="I18" s="9">
        <v>5</v>
      </c>
      <c r="J18" s="9">
        <v>1</v>
      </c>
      <c r="K18" s="9">
        <v>1</v>
      </c>
      <c r="L18" s="9">
        <v>1</v>
      </c>
      <c r="M18" s="9">
        <v>1</v>
      </c>
      <c r="N18" s="9">
        <v>1</v>
      </c>
    </row>
    <row r="19" spans="1:14" ht="20.100000000000001" customHeight="1">
      <c r="A19"/>
      <c r="B19"/>
      <c r="C19"/>
      <c r="D19"/>
      <c r="E19"/>
      <c r="F19"/>
      <c r="H19" s="4" t="s">
        <v>18</v>
      </c>
      <c r="I19" s="9">
        <v>9</v>
      </c>
      <c r="J19" s="9">
        <v>1</v>
      </c>
      <c r="K19" s="9">
        <v>1</v>
      </c>
      <c r="L19" s="9">
        <v>1</v>
      </c>
      <c r="M19" s="9">
        <v>1</v>
      </c>
      <c r="N19" s="9">
        <v>1</v>
      </c>
    </row>
    <row r="20" spans="1:14" ht="20.100000000000001" customHeight="1">
      <c r="H20" s="4" t="s">
        <v>19</v>
      </c>
      <c r="I20" s="9">
        <v>7</v>
      </c>
      <c r="J20" s="9">
        <v>1</v>
      </c>
      <c r="K20" s="9">
        <v>1</v>
      </c>
      <c r="L20" s="9">
        <v>1</v>
      </c>
      <c r="M20" s="9">
        <v>1</v>
      </c>
      <c r="N20" s="9">
        <v>1</v>
      </c>
    </row>
    <row r="21" spans="1:14" ht="20.100000000000001" customHeight="1">
      <c r="H21" s="2" t="s">
        <v>2</v>
      </c>
      <c r="I21" s="7">
        <f t="shared" ref="I21" si="4">SUM(I17:I20)</f>
        <v>88</v>
      </c>
      <c r="J21" s="7">
        <f t="shared" ref="J21:N21" si="5">SUM(J17:J20)</f>
        <v>10</v>
      </c>
      <c r="K21" s="7">
        <f t="shared" si="5"/>
        <v>10</v>
      </c>
      <c r="L21" s="7">
        <f t="shared" si="5"/>
        <v>12</v>
      </c>
      <c r="M21" s="7">
        <f t="shared" si="5"/>
        <v>11</v>
      </c>
      <c r="N21" s="7">
        <f t="shared" si="5"/>
        <v>10</v>
      </c>
    </row>
  </sheetData>
  <mergeCells count="1">
    <mergeCell ref="A1:F1"/>
  </mergeCells>
  <phoneticPr fontId="1" type="noConversion"/>
  <printOptions horizontalCentered="1"/>
  <pageMargins left="0.55118110236220474" right="0.55118110236220474" top="0.55118110236220474" bottom="0.55118110236220474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D9"/>
  <sheetViews>
    <sheetView workbookViewId="0">
      <selection activeCell="E13" sqref="E13"/>
    </sheetView>
  </sheetViews>
  <sheetFormatPr defaultRowHeight="20.100000000000001" customHeight="1"/>
  <cols>
    <col min="1" max="1" width="24.75" style="1" bestFit="1" customWidth="1"/>
    <col min="2" max="2" width="4.75" style="1" bestFit="1" customWidth="1"/>
    <col min="3" max="3" width="5.625" style="1" bestFit="1" customWidth="1"/>
    <col min="4" max="16384" width="9" style="1"/>
  </cols>
  <sheetData>
    <row r="1" spans="1:4" ht="20.100000000000001" customHeight="1">
      <c r="A1" s="12" t="s">
        <v>1</v>
      </c>
      <c r="B1" s="12" t="s">
        <v>6</v>
      </c>
      <c r="C1" s="12" t="s">
        <v>53</v>
      </c>
      <c r="D1" s="2" t="s">
        <v>54</v>
      </c>
    </row>
    <row r="2" spans="1:4" ht="20.100000000000001" customHeight="1">
      <c r="A2" s="6" t="s">
        <v>55</v>
      </c>
      <c r="B2" s="2" t="s">
        <v>62</v>
      </c>
      <c r="C2" s="9">
        <v>1</v>
      </c>
      <c r="D2" s="11"/>
    </row>
    <row r="3" spans="1:4" ht="20.100000000000001" customHeight="1">
      <c r="A3" s="6" t="s">
        <v>56</v>
      </c>
      <c r="B3" s="2" t="s">
        <v>62</v>
      </c>
      <c r="C3" s="9">
        <v>9</v>
      </c>
      <c r="D3" s="11"/>
    </row>
    <row r="4" spans="1:4" ht="20.100000000000001" customHeight="1">
      <c r="A4" s="10" t="s">
        <v>40</v>
      </c>
      <c r="B4" s="2" t="s">
        <v>62</v>
      </c>
      <c r="C4" s="11">
        <v>10</v>
      </c>
      <c r="D4" s="11"/>
    </row>
    <row r="5" spans="1:4" ht="20.100000000000001" customHeight="1">
      <c r="A5" s="6" t="s">
        <v>57</v>
      </c>
      <c r="B5" s="2" t="s">
        <v>62</v>
      </c>
      <c r="C5" s="11">
        <v>12</v>
      </c>
      <c r="D5" s="11"/>
    </row>
    <row r="6" spans="1:4" ht="20.100000000000001" customHeight="1">
      <c r="A6" s="10" t="s">
        <v>58</v>
      </c>
      <c r="B6" s="2" t="s">
        <v>62</v>
      </c>
      <c r="C6" s="11">
        <v>11</v>
      </c>
      <c r="D6" s="11"/>
    </row>
    <row r="7" spans="1:4" ht="20.100000000000001" customHeight="1">
      <c r="A7" s="6" t="s">
        <v>59</v>
      </c>
      <c r="B7" s="2" t="s">
        <v>62</v>
      </c>
      <c r="C7" s="11">
        <v>6</v>
      </c>
      <c r="D7" s="11"/>
    </row>
    <row r="8" spans="1:4" ht="20.100000000000001" customHeight="1">
      <c r="A8" s="6" t="s">
        <v>60</v>
      </c>
      <c r="B8" s="2" t="s">
        <v>62</v>
      </c>
      <c r="C8" s="11">
        <v>1</v>
      </c>
      <c r="D8" s="11"/>
    </row>
    <row r="9" spans="1:4" ht="20.100000000000001" customHeight="1">
      <c r="A9" s="6" t="s">
        <v>61</v>
      </c>
      <c r="B9" s="2" t="s">
        <v>62</v>
      </c>
      <c r="C9" s="11">
        <v>3</v>
      </c>
      <c r="D9" s="11"/>
    </row>
  </sheetData>
  <phoneticPr fontId="1" type="noConversion"/>
  <printOptions horizontalCentered="1"/>
  <pageMargins left="0.55118110236220474" right="0.55118110236220474" top="0.55118110236220474" bottom="0.55118110236220474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壁厚计算</vt:lpstr>
      <vt:lpstr>工程量计算</vt:lpstr>
      <vt:lpstr>管道、管件统计表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2016-12-06T06:01:03Z</dcterms:modified>
</cp:coreProperties>
</file>